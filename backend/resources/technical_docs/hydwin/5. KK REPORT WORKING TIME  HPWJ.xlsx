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istatkov\Desktop\"/>
    </mc:Choice>
  </mc:AlternateContent>
  <xr:revisionPtr revIDLastSave="0" documentId="13_ncr:1_{0BE3435A-BEDA-4B70-8338-F9AD7F81B3A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RDM APRIL 2026 " sheetId="7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U28" i="73" l="1"/>
  <c r="AY31" i="73"/>
  <c r="AY30" i="73"/>
  <c r="AY29" i="73"/>
  <c r="AY28" i="73"/>
  <c r="AY27" i="73"/>
  <c r="AY26" i="73"/>
  <c r="AY25" i="73"/>
  <c r="AY24" i="73"/>
  <c r="AY23" i="73"/>
  <c r="AY22" i="73"/>
  <c r="AY21" i="73"/>
  <c r="AY20" i="73"/>
  <c r="AY19" i="73"/>
  <c r="AY18" i="73"/>
  <c r="AY17" i="73"/>
  <c r="AY16" i="73"/>
  <c r="AY15" i="73"/>
  <c r="AY14" i="73"/>
  <c r="AY13" i="73"/>
  <c r="AZ31" i="73"/>
  <c r="AZ30" i="73"/>
  <c r="AZ29" i="73"/>
  <c r="AZ28" i="73"/>
  <c r="AZ27" i="73"/>
  <c r="AZ26" i="73"/>
  <c r="AZ25" i="73"/>
  <c r="AZ24" i="73"/>
  <c r="AZ23" i="73"/>
  <c r="AZ22" i="73"/>
  <c r="AZ21" i="73"/>
  <c r="AZ20" i="73"/>
  <c r="AZ19" i="73"/>
  <c r="AZ18" i="73"/>
  <c r="AZ17" i="73"/>
  <c r="AZ16" i="73"/>
  <c r="AZ15" i="73"/>
  <c r="AZ14" i="73"/>
  <c r="AZ13" i="73"/>
  <c r="AU14" i="73" l="1"/>
  <c r="AU31" i="73"/>
  <c r="AU30" i="73"/>
  <c r="AU29" i="73"/>
  <c r="AU27" i="73"/>
  <c r="AU26" i="73"/>
  <c r="AU25" i="73"/>
  <c r="AU24" i="73"/>
  <c r="AU23" i="73"/>
  <c r="AU22" i="73"/>
  <c r="AU21" i="73"/>
  <c r="AU20" i="73"/>
  <c r="AU19" i="73"/>
  <c r="AU18" i="73"/>
  <c r="AU17" i="73"/>
  <c r="AU16" i="73"/>
  <c r="AU15" i="73"/>
  <c r="AU13" i="73"/>
  <c r="B19" i="73"/>
  <c r="B20" i="73"/>
  <c r="B21" i="73"/>
  <c r="B22" i="73"/>
  <c r="B23" i="73"/>
  <c r="B24" i="73"/>
  <c r="B25" i="73"/>
  <c r="B26" i="73"/>
  <c r="B27" i="73"/>
  <c r="B28" i="73"/>
  <c r="B29" i="73"/>
  <c r="B30" i="73"/>
  <c r="B31" i="73"/>
  <c r="B18" i="73"/>
  <c r="B13" i="73"/>
  <c r="AU32" i="73" l="1"/>
  <c r="AS22" i="73"/>
  <c r="AT22" i="73"/>
  <c r="AS23" i="73"/>
  <c r="AT23" i="73"/>
  <c r="AS25" i="73"/>
  <c r="AT25" i="73"/>
  <c r="AS21" i="73"/>
  <c r="AT21" i="73"/>
  <c r="AS13" i="73"/>
  <c r="AY32" i="73"/>
  <c r="AT13" i="73"/>
  <c r="AT14" i="73"/>
  <c r="AS14" i="73"/>
  <c r="AV14" i="73" s="1"/>
  <c r="AS15" i="73"/>
  <c r="AT15" i="73"/>
  <c r="AS16" i="73"/>
  <c r="AT16" i="73"/>
  <c r="AT29" i="73"/>
  <c r="AS29" i="73"/>
  <c r="AV29" i="73" s="1"/>
  <c r="AS18" i="73"/>
  <c r="AT18" i="73"/>
  <c r="AS19" i="73"/>
  <c r="AT19" i="73"/>
  <c r="AT31" i="73"/>
  <c r="AS31" i="73"/>
  <c r="AV31" i="73" s="1"/>
  <c r="AS24" i="73"/>
  <c r="AT24" i="73"/>
  <c r="AS26" i="73"/>
  <c r="AT26" i="73"/>
  <c r="AS27" i="73"/>
  <c r="AT27" i="73"/>
  <c r="AT28" i="73"/>
  <c r="AS28" i="73"/>
  <c r="AV28" i="73" s="1"/>
  <c r="AS17" i="73"/>
  <c r="AT17" i="73"/>
  <c r="AS30" i="73"/>
  <c r="AT30" i="73"/>
  <c r="AS20" i="73"/>
  <c r="AT20" i="73"/>
  <c r="AZ32" i="73"/>
  <c r="AS12" i="73"/>
  <c r="AV12" i="73" s="1"/>
  <c r="B14" i="73"/>
  <c r="B15" i="73" s="1"/>
  <c r="B16" i="73" s="1"/>
  <c r="B17" i="73" s="1"/>
  <c r="AV20" i="73" l="1"/>
  <c r="AV24" i="73"/>
  <c r="AV15" i="73"/>
  <c r="AV17" i="73"/>
  <c r="AV13" i="73"/>
  <c r="AV18" i="73"/>
  <c r="AV21" i="73"/>
  <c r="AV27" i="73"/>
  <c r="AV25" i="73"/>
  <c r="AV26" i="73"/>
  <c r="AV16" i="73"/>
  <c r="AV23" i="73"/>
  <c r="AV19" i="73"/>
  <c r="AV22" i="73"/>
  <c r="AV30" i="73"/>
  <c r="AT32" i="73"/>
  <c r="AS32" i="73"/>
  <c r="AV32" i="73" l="1"/>
</calcChain>
</file>

<file path=xl/sharedStrings.xml><?xml version="1.0" encoding="utf-8"?>
<sst xmlns="http://schemas.openxmlformats.org/spreadsheetml/2006/main" count="76" uniqueCount="53">
  <si>
    <t>Отсъствия</t>
  </si>
  <si>
    <t>О</t>
  </si>
  <si>
    <t>Б</t>
  </si>
  <si>
    <t>М</t>
  </si>
  <si>
    <t>Д</t>
  </si>
  <si>
    <t>С</t>
  </si>
  <si>
    <t>П</t>
  </si>
  <si>
    <t>Отп</t>
  </si>
  <si>
    <t>Май</t>
  </si>
  <si>
    <t>Бол</t>
  </si>
  <si>
    <t>Дър</t>
  </si>
  <si>
    <t>Адм</t>
  </si>
  <si>
    <t>Сам</t>
  </si>
  <si>
    <t>Пра</t>
  </si>
  <si>
    <t>Людмил Янев Люцканов</t>
  </si>
  <si>
    <t>Николай Стоянов Марков</t>
  </si>
  <si>
    <t>Аспарух Ивайлов Велев</t>
  </si>
  <si>
    <t>Мариус Георгиев Маринов</t>
  </si>
  <si>
    <t>ОЗ</t>
  </si>
  <si>
    <t xml:space="preserve">Божидар Василев Русев </t>
  </si>
  <si>
    <t>Пламен Димитров Денев</t>
  </si>
  <si>
    <t>Красимир Димитров Калудов</t>
  </si>
  <si>
    <t xml:space="preserve">Директор ДИРП:                              </t>
  </si>
  <si>
    <t>/Кр. Калудов/</t>
  </si>
  <si>
    <t>ОТЧЕТ РАБОТНО ВРЕМЕ - ДИРЕКЦИЯ ДИРП</t>
  </si>
  <si>
    <t>Олекси Вычегжанин</t>
  </si>
  <si>
    <t>Станислав Вычегжанин</t>
  </si>
  <si>
    <t>Галин Желязков Димитров</t>
  </si>
  <si>
    <t>Яков Шитиков</t>
  </si>
  <si>
    <t>Димитър Иванов Стоянов</t>
  </si>
  <si>
    <t>ID</t>
  </si>
  <si>
    <t>Стефан Николайчев Истатков</t>
  </si>
  <si>
    <t>Джилиф Алиев Мустафов</t>
  </si>
  <si>
    <t>Извънреден труд</t>
  </si>
  <si>
    <t>Всичко</t>
  </si>
  <si>
    <t>Всичко дни</t>
  </si>
  <si>
    <t>Константин Красимиров Вангелов</t>
  </si>
  <si>
    <t>Пантелей Бориславов Бориславов</t>
  </si>
  <si>
    <t>Престой</t>
  </si>
  <si>
    <t>Име,презиме, фамилия на работника</t>
  </si>
  <si>
    <t>N по ред</t>
  </si>
  <si>
    <t>Стефан Ангелов Тонков</t>
  </si>
  <si>
    <t>Матвей Алексеевич Волонтирец</t>
  </si>
  <si>
    <t>Петър Станиславов Георгиев</t>
  </si>
  <si>
    <t>Часове в нормално раб. Време</t>
  </si>
  <si>
    <t xml:space="preserve">  Отработeни часове</t>
  </si>
  <si>
    <t>EST 1955</t>
  </si>
  <si>
    <t>Присъствия</t>
  </si>
  <si>
    <t>Кристиан Валериев Похомов</t>
  </si>
  <si>
    <t>месец АПРИЛ 2026г.</t>
  </si>
  <si>
    <t>Изв.труд в Празничен ден</t>
  </si>
  <si>
    <t>Извънреден труд в празничен ден</t>
  </si>
  <si>
    <t>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</si>
</sst>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7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8"/>
      <name val="Calibri"/>
      <family val="2"/>
      <scheme val="minor"/>
    </font>
    <font>
      <b/>
      <sz val="9"/>
      <name val="Calibri"/>
      <family val="2"/>
      <charset val="204"/>
      <scheme val="minor"/>
    </font>
    <font>
      <b/>
      <sz val="12"/>
      <name val="Calibri"/>
      <family val="2"/>
      <scheme val="minor"/>
    </font>
    <font>
      <sz val="6"/>
      <name val="Calibri"/>
      <family val="2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.75"/>
      <color rgb="FF000000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7" fillId="0" borderId="0" xfId="0" applyFont="1"/>
    <xf numFmtId="0" fontId="7" fillId="0" borderId="5" xfId="0" applyFont="1" applyBorder="1"/>
    <xf numFmtId="0" fontId="7" fillId="0" borderId="6" xfId="0" applyFont="1" applyBorder="1"/>
    <xf numFmtId="0" fontId="10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2" fillId="0" borderId="4" xfId="0" applyFont="1" applyBorder="1" applyAlignment="1">
      <alignment horizontal="center" vertical="center"/>
    </xf>
    <xf numFmtId="0" fontId="4" fillId="0" borderId="4" xfId="0" applyFont="1" applyBorder="1"/>
    <xf numFmtId="0" fontId="7" fillId="0" borderId="4" xfId="0" applyFont="1" applyBorder="1"/>
    <xf numFmtId="0" fontId="7" fillId="5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vertical="justify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0" borderId="9" xfId="0" applyFont="1" applyBorder="1"/>
    <xf numFmtId="0" fontId="17" fillId="5" borderId="1" xfId="0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/>
    <xf numFmtId="0" fontId="2" fillId="6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7" fillId="6" borderId="11" xfId="0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vertical="justify" wrapText="1"/>
    </xf>
    <xf numFmtId="0" fontId="7" fillId="0" borderId="18" xfId="0" applyFont="1" applyBorder="1" applyAlignment="1">
      <alignment vertical="justify" wrapText="1"/>
    </xf>
    <xf numFmtId="0" fontId="7" fillId="2" borderId="18" xfId="0" applyFont="1" applyFill="1" applyBorder="1" applyAlignment="1">
      <alignment vertical="justify" wrapText="1"/>
    </xf>
    <xf numFmtId="0" fontId="7" fillId="2" borderId="19" xfId="0" applyFont="1" applyFill="1" applyBorder="1" applyAlignment="1">
      <alignment vertical="justify" wrapText="1"/>
    </xf>
    <xf numFmtId="0" fontId="9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top"/>
    </xf>
    <xf numFmtId="0" fontId="9" fillId="2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3" xfId="0" applyFill="1" applyBorder="1" applyAlignment="1">
      <alignment horizontal="center" vertical="top" wrapText="1"/>
    </xf>
    <xf numFmtId="0" fontId="0" fillId="6" borderId="26" xfId="0" applyFill="1" applyBorder="1" applyAlignment="1">
      <alignment horizontal="center" vertical="top" wrapText="1"/>
    </xf>
    <xf numFmtId="0" fontId="0" fillId="6" borderId="8" xfId="0" applyFill="1" applyBorder="1" applyAlignment="1">
      <alignment horizontal="center" vertical="top" wrapText="1"/>
    </xf>
    <xf numFmtId="0" fontId="0" fillId="7" borderId="3" xfId="0" applyFill="1" applyBorder="1" applyAlignment="1">
      <alignment vertical="top" wrapText="1"/>
    </xf>
    <xf numFmtId="0" fontId="0" fillId="7" borderId="26" xfId="0" applyFill="1" applyBorder="1" applyAlignment="1">
      <alignment vertical="top" wrapText="1"/>
    </xf>
    <xf numFmtId="0" fontId="0" fillId="7" borderId="8" xfId="0" applyFill="1" applyBorder="1" applyAlignment="1">
      <alignment vertical="top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3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top" wrapText="1"/>
    </xf>
    <xf numFmtId="0" fontId="15" fillId="3" borderId="3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2.png@01DBEDBC.F58832E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198120</xdr:colOff>
      <xdr:row>1</xdr:row>
      <xdr:rowOff>71884</xdr:rowOff>
    </xdr:from>
    <xdr:to>
      <xdr:col>47</xdr:col>
      <xdr:colOff>244475</xdr:colOff>
      <xdr:row>6</xdr:row>
      <xdr:rowOff>137159</xdr:rowOff>
    </xdr:to>
    <xdr:pic>
      <xdr:nvPicPr>
        <xdr:cNvPr id="3" name="Picture 2" descr="A close-up of a certificate&#10;&#10;AI-generated content may be incorrect.">
          <a:extLst>
            <a:ext uri="{FF2B5EF4-FFF2-40B4-BE49-F238E27FC236}">
              <a16:creationId xmlns:a16="http://schemas.microsoft.com/office/drawing/2014/main" id="{DF69B076-2850-F1D5-3051-E0A600389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8040" y="254764"/>
          <a:ext cx="1143635" cy="9796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434340</xdr:colOff>
      <xdr:row>1</xdr:row>
      <xdr:rowOff>15240</xdr:rowOff>
    </xdr:from>
    <xdr:to>
      <xdr:col>2</xdr:col>
      <xdr:colOff>1113296</xdr:colOff>
      <xdr:row>5</xdr:row>
      <xdr:rowOff>156209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DA715B-A37A-C8A9-6FBD-3FC4FE56B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98120"/>
          <a:ext cx="678956" cy="87248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6496</xdr:colOff>
      <xdr:row>1</xdr:row>
      <xdr:rowOff>68580</xdr:rowOff>
    </xdr:from>
    <xdr:to>
      <xdr:col>32</xdr:col>
      <xdr:colOff>47403</xdr:colOff>
      <xdr:row>6</xdr:row>
      <xdr:rowOff>81280</xdr:rowOff>
    </xdr:to>
    <xdr:pic>
      <xdr:nvPicPr>
        <xdr:cNvPr id="5" name="Picture 4" descr="A blue and grey logo&#10;&#10;AI-generated content may be incorrect.">
          <a:extLst>
            <a:ext uri="{FF2B5EF4-FFF2-40B4-BE49-F238E27FC236}">
              <a16:creationId xmlns:a16="http://schemas.microsoft.com/office/drawing/2014/main" id="{BDA00646-A096-2DCA-9E56-D26309114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30796" y="251460"/>
          <a:ext cx="4567187" cy="92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C2E5-9249-4C02-B5DE-BDA070E1D845}">
  <sheetPr>
    <pageSetUpPr fitToPage="1"/>
  </sheetPr>
  <dimension ref="B1:BB38"/>
  <sheetViews>
    <sheetView tabSelected="1" zoomScale="86" zoomScaleNormal="86" workbookViewId="0">
      <selection activeCell="AH29" sqref="AH29"/>
    </sheetView>
  </sheetViews>
  <sheetFormatPr defaultRowHeight="15" x14ac:dyDescent="0.25"/>
  <cols>
    <col min="1" max="1" width="2.85546875" customWidth="1"/>
    <col min="2" max="2" width="3.5703125" customWidth="1"/>
    <col min="3" max="3" width="25.42578125" style="3" customWidth="1"/>
    <col min="4" max="4" width="7.28515625" style="3" customWidth="1"/>
    <col min="5" max="8" width="3" customWidth="1"/>
    <col min="9" max="11" width="3" style="5" customWidth="1"/>
    <col min="12" max="15" width="3" customWidth="1"/>
    <col min="16" max="18" width="3" style="5" customWidth="1"/>
    <col min="19" max="22" width="3" customWidth="1"/>
    <col min="23" max="25" width="3" style="5" customWidth="1"/>
    <col min="26" max="29" width="3" customWidth="1"/>
    <col min="30" max="31" width="3" style="5" customWidth="1"/>
    <col min="32" max="32" width="3" style="6" customWidth="1"/>
    <col min="33" max="35" width="3" customWidth="1"/>
    <col min="36" max="36" width="6.28515625" customWidth="1"/>
    <col min="37" max="37" width="5.7109375" customWidth="1"/>
    <col min="38" max="38" width="2.7109375" customWidth="1"/>
    <col min="39" max="39" width="1.85546875" customWidth="1"/>
    <col min="40" max="40" width="3" bestFit="1" customWidth="1"/>
    <col min="41" max="41" width="1.5703125" customWidth="1"/>
    <col min="42" max="42" width="2.7109375" customWidth="1"/>
    <col min="43" max="43" width="3.28515625" customWidth="1"/>
    <col min="44" max="44" width="1.42578125" customWidth="1"/>
    <col min="45" max="45" width="5.140625" customWidth="1"/>
    <col min="46" max="46" width="4.7109375" customWidth="1"/>
    <col min="47" max="47" width="6.28515625" customWidth="1"/>
    <col min="48" max="48" width="6.28515625" style="40" customWidth="1"/>
    <col min="49" max="49" width="2" hidden="1" customWidth="1"/>
    <col min="51" max="51" width="11.7109375" style="40" customWidth="1"/>
    <col min="52" max="52" width="12.7109375" style="40" customWidth="1"/>
    <col min="53" max="53" width="8.85546875" style="40"/>
  </cols>
  <sheetData>
    <row r="1" spans="2:54" x14ac:dyDescent="0.25"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</row>
    <row r="2" spans="2:54" x14ac:dyDescent="0.25">
      <c r="B2" s="74"/>
      <c r="C2" s="74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74"/>
      <c r="AT2" s="74"/>
      <c r="AU2" s="74"/>
      <c r="AV2" s="74"/>
    </row>
    <row r="3" spans="2:54" x14ac:dyDescent="0.25">
      <c r="B3" s="74"/>
      <c r="C3" s="74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74"/>
      <c r="AT3" s="74"/>
      <c r="AU3" s="74"/>
      <c r="AV3" s="74"/>
    </row>
    <row r="4" spans="2:54" x14ac:dyDescent="0.25">
      <c r="B4" s="74"/>
      <c r="C4" s="74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74"/>
      <c r="AT4" s="74"/>
      <c r="AU4" s="74"/>
      <c r="AV4" s="74"/>
    </row>
    <row r="5" spans="2:54" x14ac:dyDescent="0.25">
      <c r="B5" s="74"/>
      <c r="C5" s="74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74"/>
      <c r="AT5" s="74"/>
      <c r="AU5" s="74"/>
      <c r="AV5" s="74"/>
    </row>
    <row r="6" spans="2:54" x14ac:dyDescent="0.25">
      <c r="B6" s="75"/>
      <c r="C6" s="75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74"/>
      <c r="AT6" s="74"/>
      <c r="AU6" s="74"/>
      <c r="AV6" s="74"/>
    </row>
    <row r="7" spans="2:54" x14ac:dyDescent="0.25">
      <c r="B7" s="89" t="s">
        <v>46</v>
      </c>
      <c r="C7" s="90"/>
      <c r="D7" s="87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75"/>
      <c r="AT7" s="75"/>
      <c r="AU7" s="75"/>
      <c r="AV7" s="75"/>
    </row>
    <row r="8" spans="2:54" ht="26.25" x14ac:dyDescent="0.4">
      <c r="B8" s="103" t="s">
        <v>24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</row>
    <row r="9" spans="2:54" ht="17.25" customHeight="1" x14ac:dyDescent="0.25">
      <c r="B9" s="71" t="s">
        <v>40</v>
      </c>
      <c r="C9" s="72" t="s">
        <v>39</v>
      </c>
      <c r="D9" s="73" t="s">
        <v>30</v>
      </c>
      <c r="E9" s="97" t="s">
        <v>49</v>
      </c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9"/>
      <c r="AJ9" s="91" t="s">
        <v>47</v>
      </c>
      <c r="AK9" s="93"/>
      <c r="AL9" s="94" t="s">
        <v>0</v>
      </c>
      <c r="AM9" s="95"/>
      <c r="AN9" s="95"/>
      <c r="AO9" s="95"/>
      <c r="AP9" s="95"/>
      <c r="AQ9" s="95"/>
      <c r="AR9" s="96"/>
      <c r="AS9" s="91" t="s">
        <v>45</v>
      </c>
      <c r="AT9" s="92"/>
      <c r="AU9" s="92"/>
      <c r="AV9" s="93"/>
      <c r="AW9" s="58"/>
      <c r="AY9" s="65" t="s">
        <v>33</v>
      </c>
      <c r="AZ9" s="68" t="s">
        <v>51</v>
      </c>
      <c r="BA9" s="64"/>
      <c r="BB9" s="64"/>
    </row>
    <row r="10" spans="2:54" ht="40.15" customHeight="1" thickBot="1" x14ac:dyDescent="0.3">
      <c r="B10" s="71"/>
      <c r="C10" s="72"/>
      <c r="D10" s="73"/>
      <c r="E10" s="100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2"/>
      <c r="AJ10" s="77" t="s">
        <v>35</v>
      </c>
      <c r="AK10" s="77" t="s">
        <v>38</v>
      </c>
      <c r="AL10" s="11" t="s">
        <v>7</v>
      </c>
      <c r="AM10" s="11" t="s">
        <v>8</v>
      </c>
      <c r="AN10" s="11" t="s">
        <v>9</v>
      </c>
      <c r="AO10" s="11" t="s">
        <v>10</v>
      </c>
      <c r="AP10" s="11" t="s">
        <v>11</v>
      </c>
      <c r="AQ10" s="11" t="s">
        <v>12</v>
      </c>
      <c r="AR10" s="11" t="s">
        <v>13</v>
      </c>
      <c r="AS10" s="79" t="s">
        <v>44</v>
      </c>
      <c r="AT10" s="81" t="s">
        <v>33</v>
      </c>
      <c r="AU10" s="83" t="s">
        <v>50</v>
      </c>
      <c r="AV10" s="84" t="s">
        <v>34</v>
      </c>
      <c r="AW10" s="50"/>
      <c r="AY10" s="66"/>
      <c r="AZ10" s="69"/>
      <c r="BA10" s="64"/>
      <c r="BB10" s="64"/>
    </row>
    <row r="11" spans="2:54" s="1" customFormat="1" ht="15.6" customHeight="1" x14ac:dyDescent="0.5">
      <c r="B11" s="71"/>
      <c r="C11" s="72"/>
      <c r="D11" s="73"/>
      <c r="E11" s="4">
        <v>1</v>
      </c>
      <c r="F11" s="4">
        <v>2</v>
      </c>
      <c r="G11" s="4">
        <v>3</v>
      </c>
      <c r="H11" s="4">
        <v>4</v>
      </c>
      <c r="I11" s="4">
        <v>5</v>
      </c>
      <c r="J11" s="10">
        <v>6</v>
      </c>
      <c r="K11" s="4">
        <v>7</v>
      </c>
      <c r="L11" s="4">
        <v>8</v>
      </c>
      <c r="M11" s="4">
        <v>9</v>
      </c>
      <c r="N11" s="4">
        <v>10</v>
      </c>
      <c r="O11" s="4">
        <v>11</v>
      </c>
      <c r="P11" s="4">
        <v>12</v>
      </c>
      <c r="Q11" s="4">
        <v>13</v>
      </c>
      <c r="R11" s="4">
        <v>14</v>
      </c>
      <c r="S11" s="4">
        <v>15</v>
      </c>
      <c r="T11" s="4">
        <v>16</v>
      </c>
      <c r="U11" s="4">
        <v>17</v>
      </c>
      <c r="V11" s="4">
        <v>18</v>
      </c>
      <c r="W11" s="4">
        <v>19</v>
      </c>
      <c r="X11" s="4">
        <v>20</v>
      </c>
      <c r="Y11" s="4">
        <v>21</v>
      </c>
      <c r="Z11" s="4">
        <v>22</v>
      </c>
      <c r="AA11" s="4">
        <v>23</v>
      </c>
      <c r="AB11" s="4">
        <v>24</v>
      </c>
      <c r="AC11" s="4">
        <v>25</v>
      </c>
      <c r="AD11" s="4">
        <v>26</v>
      </c>
      <c r="AE11" s="4">
        <v>27</v>
      </c>
      <c r="AF11" s="4">
        <v>28</v>
      </c>
      <c r="AG11" s="4">
        <v>29</v>
      </c>
      <c r="AH11" s="4">
        <v>30</v>
      </c>
      <c r="AI11" s="4">
        <v>31</v>
      </c>
      <c r="AJ11" s="78"/>
      <c r="AK11" s="78"/>
      <c r="AL11" s="12" t="s">
        <v>1</v>
      </c>
      <c r="AM11" s="12" t="s">
        <v>3</v>
      </c>
      <c r="AN11" s="12" t="s">
        <v>2</v>
      </c>
      <c r="AO11" s="12" t="s">
        <v>4</v>
      </c>
      <c r="AP11" s="13" t="s">
        <v>18</v>
      </c>
      <c r="AQ11" s="12" t="s">
        <v>5</v>
      </c>
      <c r="AR11" s="12" t="s">
        <v>6</v>
      </c>
      <c r="AS11" s="80"/>
      <c r="AT11" s="82"/>
      <c r="AU11" s="83"/>
      <c r="AV11" s="85"/>
      <c r="AW11" s="51"/>
      <c r="AX11" s="41"/>
      <c r="AY11" s="67"/>
      <c r="AZ11" s="70"/>
      <c r="BA11" s="41"/>
    </row>
    <row r="12" spans="2:54" s="1" customFormat="1" ht="15.75" customHeight="1" x14ac:dyDescent="0.5">
      <c r="B12" s="21">
        <v>1</v>
      </c>
      <c r="C12" s="14" t="s">
        <v>21</v>
      </c>
      <c r="D12" s="33">
        <v>11861</v>
      </c>
      <c r="E12" s="60"/>
      <c r="F12" s="46"/>
      <c r="G12" s="46"/>
      <c r="H12" s="9"/>
      <c r="I12" s="9"/>
      <c r="J12" s="60"/>
      <c r="K12" s="9"/>
      <c r="L12" s="9"/>
      <c r="M12" s="46"/>
      <c r="N12" s="46"/>
      <c r="O12" s="9"/>
      <c r="P12" s="9"/>
      <c r="Q12" s="9"/>
      <c r="R12" s="9"/>
      <c r="S12" s="9"/>
      <c r="T12" s="46"/>
      <c r="U12" s="46"/>
      <c r="V12" s="9"/>
      <c r="W12" s="9"/>
      <c r="X12" s="9"/>
      <c r="Y12" s="9"/>
      <c r="Z12" s="9"/>
      <c r="AA12" s="46"/>
      <c r="AB12" s="46"/>
      <c r="AC12" s="60"/>
      <c r="AD12" s="9"/>
      <c r="AE12" s="9"/>
      <c r="AF12" s="9"/>
      <c r="AG12" s="9"/>
      <c r="AH12" s="46"/>
      <c r="AI12" s="46"/>
      <c r="AJ12" s="9">
        <v>18</v>
      </c>
      <c r="AK12" s="15"/>
      <c r="AL12" s="15"/>
      <c r="AM12" s="15"/>
      <c r="AN12" s="15"/>
      <c r="AO12" s="15"/>
      <c r="AP12" s="15"/>
      <c r="AQ12" s="15"/>
      <c r="AR12" s="15"/>
      <c r="AS12" s="43">
        <f>SUM(E12:AI12)-AT12</f>
        <v>0</v>
      </c>
      <c r="AT12" s="48"/>
      <c r="AU12" s="60"/>
      <c r="AV12" s="56">
        <f>AS12+AT12</f>
        <v>0</v>
      </c>
      <c r="AW12" s="52"/>
      <c r="AX12" s="37"/>
      <c r="AY12" s="62"/>
      <c r="AZ12" s="61"/>
      <c r="BA12" s="37"/>
      <c r="BB12" s="63"/>
    </row>
    <row r="13" spans="2:54" s="1" customFormat="1" ht="18" customHeight="1" x14ac:dyDescent="0.5">
      <c r="B13" s="22">
        <f>B12+1</f>
        <v>2</v>
      </c>
      <c r="C13" s="16" t="s">
        <v>27</v>
      </c>
      <c r="D13" s="34">
        <v>11863</v>
      </c>
      <c r="E13" s="60"/>
      <c r="F13" s="46"/>
      <c r="G13" s="46"/>
      <c r="H13" s="8"/>
      <c r="I13" s="8"/>
      <c r="J13" s="60"/>
      <c r="K13" s="8"/>
      <c r="L13" s="8"/>
      <c r="M13" s="46"/>
      <c r="N13" s="46"/>
      <c r="O13" s="8"/>
      <c r="P13" s="8"/>
      <c r="Q13" s="8"/>
      <c r="R13" s="8"/>
      <c r="S13" s="8"/>
      <c r="T13" s="46"/>
      <c r="U13" s="46"/>
      <c r="V13" s="8"/>
      <c r="W13" s="8"/>
      <c r="X13" s="8"/>
      <c r="Y13" s="8"/>
      <c r="Z13" s="8"/>
      <c r="AA13" s="46"/>
      <c r="AB13" s="46"/>
      <c r="AC13" s="60"/>
      <c r="AD13" s="8"/>
      <c r="AE13" s="8"/>
      <c r="AF13" s="8"/>
      <c r="AG13" s="8"/>
      <c r="AH13" s="46"/>
      <c r="AI13" s="46"/>
      <c r="AJ13" s="8"/>
      <c r="AK13" s="8"/>
      <c r="AL13" s="17"/>
      <c r="AM13" s="17"/>
      <c r="AN13" s="17"/>
      <c r="AO13" s="17"/>
      <c r="AP13" s="17"/>
      <c r="AQ13" s="17"/>
      <c r="AR13" s="17"/>
      <c r="AS13" s="43">
        <f t="shared" ref="AS13:AS20" si="0">SUM(E13:AI13)-AY13</f>
        <v>0</v>
      </c>
      <c r="AT13" s="48">
        <f>AY13</f>
        <v>0</v>
      </c>
      <c r="AU13" s="60">
        <f>AZ13</f>
        <v>0</v>
      </c>
      <c r="AV13" s="56">
        <f>AS13+AT13+AU13</f>
        <v>0</v>
      </c>
      <c r="AW13" s="52"/>
      <c r="AX13" s="24"/>
      <c r="AY13" s="48">
        <f>F13+G13+M13+N13+T13+U13+AA13+AB13+AH13+AI13</f>
        <v>0</v>
      </c>
      <c r="AZ13" s="61">
        <f>E13+J13+AC13</f>
        <v>0</v>
      </c>
      <c r="BA13" s="37"/>
      <c r="BB13" s="40"/>
    </row>
    <row r="14" spans="2:54" s="1" customFormat="1" ht="17.25" customHeight="1" x14ac:dyDescent="0.5">
      <c r="B14" s="22">
        <f t="shared" ref="B14:B31" si="1">B13+1</f>
        <v>3</v>
      </c>
      <c r="C14" s="16" t="s">
        <v>14</v>
      </c>
      <c r="D14" s="34">
        <v>11634</v>
      </c>
      <c r="E14" s="60"/>
      <c r="F14" s="46"/>
      <c r="G14" s="46"/>
      <c r="H14" s="8"/>
      <c r="I14" s="8"/>
      <c r="J14" s="60"/>
      <c r="K14" s="8"/>
      <c r="L14" s="8"/>
      <c r="M14" s="46"/>
      <c r="N14" s="46"/>
      <c r="O14" s="8"/>
      <c r="P14" s="8"/>
      <c r="Q14" s="8"/>
      <c r="R14" s="8"/>
      <c r="S14" s="8"/>
      <c r="T14" s="46"/>
      <c r="U14" s="46"/>
      <c r="V14" s="8"/>
      <c r="W14" s="8"/>
      <c r="X14" s="8"/>
      <c r="Y14" s="8"/>
      <c r="Z14" s="8"/>
      <c r="AA14" s="46"/>
      <c r="AB14" s="46"/>
      <c r="AC14" s="60"/>
      <c r="AD14" s="8"/>
      <c r="AE14" s="8"/>
      <c r="AF14" s="8"/>
      <c r="AG14" s="8"/>
      <c r="AH14" s="46"/>
      <c r="AI14" s="46"/>
      <c r="AJ14" s="8"/>
      <c r="AK14" s="8"/>
      <c r="AL14" s="8"/>
      <c r="AM14" s="8"/>
      <c r="AN14" s="8"/>
      <c r="AO14" s="8"/>
      <c r="AP14" s="8"/>
      <c r="AQ14" s="8"/>
      <c r="AR14" s="8"/>
      <c r="AS14" s="43">
        <f>SUM(E14:AI14)-AY14-N14</f>
        <v>0</v>
      </c>
      <c r="AT14" s="48">
        <f t="shared" ref="AT14:AT31" si="2">AY14</f>
        <v>0</v>
      </c>
      <c r="AU14" s="60">
        <f>AZ14</f>
        <v>0</v>
      </c>
      <c r="AV14" s="56">
        <f t="shared" ref="AV14:AV31" si="3">AS14+AT14+AU14</f>
        <v>0</v>
      </c>
      <c r="AW14" s="52"/>
      <c r="AX14" s="24"/>
      <c r="AY14" s="48">
        <f t="shared" ref="AY14:AY31" si="4">F14+G14+M14+N14+T14+U14+AA14+AB14+AH14+AI14</f>
        <v>0</v>
      </c>
      <c r="AZ14" s="61">
        <f t="shared" ref="AZ14:AZ31" si="5">E14+J14+AC14</f>
        <v>0</v>
      </c>
      <c r="BA14" s="37"/>
      <c r="BB14" s="40"/>
    </row>
    <row r="15" spans="2:54" s="1" customFormat="1" ht="17.25" customHeight="1" x14ac:dyDescent="0.5">
      <c r="B15" s="23">
        <f t="shared" si="1"/>
        <v>4</v>
      </c>
      <c r="C15" s="18" t="s">
        <v>15</v>
      </c>
      <c r="D15" s="35">
        <v>11037</v>
      </c>
      <c r="E15" s="60"/>
      <c r="F15" s="46"/>
      <c r="G15" s="46"/>
      <c r="H15" s="7"/>
      <c r="I15" s="7"/>
      <c r="J15" s="60"/>
      <c r="K15" s="7"/>
      <c r="L15" s="7"/>
      <c r="M15" s="46"/>
      <c r="N15" s="46"/>
      <c r="O15" s="7"/>
      <c r="P15" s="7"/>
      <c r="Q15" s="7"/>
      <c r="R15" s="7"/>
      <c r="S15" s="7"/>
      <c r="T15" s="46"/>
      <c r="U15" s="46"/>
      <c r="V15" s="7"/>
      <c r="W15" s="7"/>
      <c r="X15" s="7"/>
      <c r="Y15" s="7"/>
      <c r="Z15" s="7"/>
      <c r="AA15" s="46"/>
      <c r="AB15" s="46"/>
      <c r="AC15" s="60"/>
      <c r="AD15" s="7"/>
      <c r="AE15" s="7"/>
      <c r="AF15" s="7"/>
      <c r="AG15" s="7"/>
      <c r="AH15" s="46"/>
      <c r="AI15" s="46"/>
      <c r="AJ15" s="7"/>
      <c r="AK15" s="7"/>
      <c r="AL15" s="7"/>
      <c r="AM15" s="7"/>
      <c r="AN15" s="7"/>
      <c r="AO15" s="7"/>
      <c r="AP15" s="7"/>
      <c r="AQ15" s="19"/>
      <c r="AR15" s="19"/>
      <c r="AS15" s="43">
        <f t="shared" si="0"/>
        <v>0</v>
      </c>
      <c r="AT15" s="48">
        <f t="shared" si="2"/>
        <v>0</v>
      </c>
      <c r="AU15" s="60">
        <f t="shared" ref="AU15:AU31" si="6">AZ15</f>
        <v>0</v>
      </c>
      <c r="AV15" s="56">
        <f t="shared" si="3"/>
        <v>0</v>
      </c>
      <c r="AW15" s="52"/>
      <c r="AX15" s="24"/>
      <c r="AY15" s="48">
        <f t="shared" si="4"/>
        <v>0</v>
      </c>
      <c r="AZ15" s="61">
        <f t="shared" si="5"/>
        <v>0</v>
      </c>
      <c r="BA15" s="37"/>
      <c r="BB15" s="40"/>
    </row>
    <row r="16" spans="2:54" s="1" customFormat="1" ht="17.25" customHeight="1" x14ac:dyDescent="0.5">
      <c r="B16" s="23">
        <f t="shared" si="1"/>
        <v>5</v>
      </c>
      <c r="C16" s="20" t="s">
        <v>17</v>
      </c>
      <c r="D16" s="35">
        <v>11091</v>
      </c>
      <c r="E16" s="60"/>
      <c r="F16" s="46"/>
      <c r="G16" s="46"/>
      <c r="H16" s="7"/>
      <c r="I16" s="7"/>
      <c r="J16" s="60"/>
      <c r="K16" s="7"/>
      <c r="L16" s="7"/>
      <c r="M16" s="46"/>
      <c r="N16" s="46"/>
      <c r="O16" s="7"/>
      <c r="P16" s="7"/>
      <c r="Q16" s="7"/>
      <c r="R16" s="7"/>
      <c r="S16" s="7"/>
      <c r="T16" s="46"/>
      <c r="U16" s="46"/>
      <c r="V16" s="7"/>
      <c r="W16" s="7"/>
      <c r="X16" s="7"/>
      <c r="Y16" s="7"/>
      <c r="Z16" s="7"/>
      <c r="AA16" s="46"/>
      <c r="AB16" s="46"/>
      <c r="AC16" s="60"/>
      <c r="AD16" s="7"/>
      <c r="AE16" s="7"/>
      <c r="AF16" s="7"/>
      <c r="AG16" s="7"/>
      <c r="AH16" s="46"/>
      <c r="AI16" s="46"/>
      <c r="AJ16" s="7"/>
      <c r="AK16" s="7"/>
      <c r="AL16" s="7"/>
      <c r="AM16" s="7"/>
      <c r="AN16" s="7"/>
      <c r="AO16" s="7"/>
      <c r="AP16" s="7"/>
      <c r="AQ16" s="19"/>
      <c r="AR16" s="19"/>
      <c r="AS16" s="43">
        <f t="shared" si="0"/>
        <v>0</v>
      </c>
      <c r="AT16" s="48">
        <f t="shared" si="2"/>
        <v>0</v>
      </c>
      <c r="AU16" s="60">
        <f t="shared" si="6"/>
        <v>0</v>
      </c>
      <c r="AV16" s="56">
        <f t="shared" si="3"/>
        <v>0</v>
      </c>
      <c r="AW16" s="52"/>
      <c r="AX16" s="24"/>
      <c r="AY16" s="48">
        <f t="shared" si="4"/>
        <v>0</v>
      </c>
      <c r="AZ16" s="61">
        <f t="shared" si="5"/>
        <v>0</v>
      </c>
      <c r="BA16" s="37"/>
      <c r="BB16" s="40"/>
    </row>
    <row r="17" spans="2:54" s="1" customFormat="1" ht="17.25" customHeight="1" x14ac:dyDescent="0.5">
      <c r="B17" s="23">
        <f t="shared" si="1"/>
        <v>6</v>
      </c>
      <c r="C17" s="18" t="s">
        <v>19</v>
      </c>
      <c r="D17" s="35">
        <v>11046</v>
      </c>
      <c r="E17" s="60"/>
      <c r="F17" s="46"/>
      <c r="G17" s="46"/>
      <c r="H17" s="7"/>
      <c r="I17" s="7"/>
      <c r="J17" s="60"/>
      <c r="K17" s="7"/>
      <c r="L17" s="7"/>
      <c r="M17" s="46"/>
      <c r="N17" s="46"/>
      <c r="O17" s="7"/>
      <c r="P17" s="7"/>
      <c r="Q17" s="7"/>
      <c r="R17" s="7"/>
      <c r="S17" s="7"/>
      <c r="T17" s="46"/>
      <c r="U17" s="46"/>
      <c r="V17" s="7"/>
      <c r="W17" s="7"/>
      <c r="X17" s="7"/>
      <c r="Y17" s="7"/>
      <c r="Z17" s="7"/>
      <c r="AA17" s="46"/>
      <c r="AB17" s="46"/>
      <c r="AC17" s="60"/>
      <c r="AD17" s="7"/>
      <c r="AE17" s="7"/>
      <c r="AF17" s="7"/>
      <c r="AG17" s="7"/>
      <c r="AH17" s="46"/>
      <c r="AI17" s="46"/>
      <c r="AJ17" s="7"/>
      <c r="AK17" s="7"/>
      <c r="AL17" s="7"/>
      <c r="AM17" s="7"/>
      <c r="AN17" s="7"/>
      <c r="AO17" s="7"/>
      <c r="AP17" s="7"/>
      <c r="AQ17" s="19"/>
      <c r="AR17" s="19"/>
      <c r="AS17" s="43">
        <f t="shared" si="0"/>
        <v>0</v>
      </c>
      <c r="AT17" s="48">
        <f t="shared" si="2"/>
        <v>0</v>
      </c>
      <c r="AU17" s="60">
        <f t="shared" si="6"/>
        <v>0</v>
      </c>
      <c r="AV17" s="56">
        <f t="shared" si="3"/>
        <v>0</v>
      </c>
      <c r="AW17" s="52"/>
      <c r="AX17" s="24"/>
      <c r="AY17" s="48">
        <f t="shared" si="4"/>
        <v>0</v>
      </c>
      <c r="AZ17" s="61">
        <f t="shared" si="5"/>
        <v>0</v>
      </c>
      <c r="BA17" s="37"/>
      <c r="BB17" s="40"/>
    </row>
    <row r="18" spans="2:54" s="1" customFormat="1" ht="17.25" customHeight="1" x14ac:dyDescent="0.5">
      <c r="B18" s="23">
        <f t="shared" si="1"/>
        <v>7</v>
      </c>
      <c r="C18" s="18" t="s">
        <v>48</v>
      </c>
      <c r="D18" s="35">
        <v>12461</v>
      </c>
      <c r="E18" s="60"/>
      <c r="F18" s="46"/>
      <c r="G18" s="46"/>
      <c r="H18" s="7"/>
      <c r="I18" s="7"/>
      <c r="J18" s="60"/>
      <c r="K18" s="7"/>
      <c r="L18" s="7"/>
      <c r="M18" s="46"/>
      <c r="N18" s="46"/>
      <c r="O18" s="7"/>
      <c r="P18" s="7"/>
      <c r="Q18" s="7"/>
      <c r="R18" s="7"/>
      <c r="S18" s="7"/>
      <c r="T18" s="46"/>
      <c r="U18" s="46"/>
      <c r="V18" s="7"/>
      <c r="W18" s="7"/>
      <c r="X18" s="7"/>
      <c r="Y18" s="7"/>
      <c r="Z18" s="7"/>
      <c r="AA18" s="46"/>
      <c r="AB18" s="46"/>
      <c r="AC18" s="60"/>
      <c r="AD18" s="7"/>
      <c r="AE18" s="7"/>
      <c r="AF18" s="7"/>
      <c r="AG18" s="7"/>
      <c r="AH18" s="46"/>
      <c r="AI18" s="46"/>
      <c r="AJ18" s="7"/>
      <c r="AK18" s="7"/>
      <c r="AL18" s="7"/>
      <c r="AM18" s="7"/>
      <c r="AN18" s="7"/>
      <c r="AO18" s="7"/>
      <c r="AP18" s="7"/>
      <c r="AQ18" s="19"/>
      <c r="AR18" s="19"/>
      <c r="AS18" s="43">
        <f>SUM(E18:AI18)-AY18</f>
        <v>0</v>
      </c>
      <c r="AT18" s="48">
        <f t="shared" si="2"/>
        <v>0</v>
      </c>
      <c r="AU18" s="60">
        <f t="shared" si="6"/>
        <v>0</v>
      </c>
      <c r="AV18" s="56">
        <f t="shared" si="3"/>
        <v>0</v>
      </c>
      <c r="AW18" s="52"/>
      <c r="AX18" s="24"/>
      <c r="AY18" s="48">
        <f t="shared" si="4"/>
        <v>0</v>
      </c>
      <c r="AZ18" s="61">
        <f t="shared" si="5"/>
        <v>0</v>
      </c>
      <c r="BA18" s="37"/>
      <c r="BB18" s="40"/>
    </row>
    <row r="19" spans="2:54" s="1" customFormat="1" ht="17.25" customHeight="1" x14ac:dyDescent="0.5">
      <c r="B19" s="23">
        <f t="shared" si="1"/>
        <v>8</v>
      </c>
      <c r="C19" s="16" t="s">
        <v>36</v>
      </c>
      <c r="D19" s="34">
        <v>12428</v>
      </c>
      <c r="E19" s="60"/>
      <c r="F19" s="46"/>
      <c r="G19" s="46"/>
      <c r="H19" s="8"/>
      <c r="I19" s="8"/>
      <c r="J19" s="60"/>
      <c r="K19" s="8"/>
      <c r="L19" s="8"/>
      <c r="M19" s="46"/>
      <c r="N19" s="46"/>
      <c r="O19" s="8"/>
      <c r="P19" s="8"/>
      <c r="Q19" s="8"/>
      <c r="R19" s="8"/>
      <c r="S19" s="8"/>
      <c r="T19" s="46"/>
      <c r="U19" s="46"/>
      <c r="V19" s="8"/>
      <c r="W19" s="8"/>
      <c r="X19" s="8"/>
      <c r="Y19" s="8"/>
      <c r="Z19" s="8"/>
      <c r="AA19" s="46"/>
      <c r="AB19" s="46"/>
      <c r="AC19" s="60"/>
      <c r="AD19" s="8"/>
      <c r="AE19" s="8"/>
      <c r="AF19" s="8"/>
      <c r="AG19" s="8"/>
      <c r="AH19" s="46"/>
      <c r="AI19" s="46"/>
      <c r="AJ19" s="8"/>
      <c r="AK19" s="8"/>
      <c r="AL19" s="8"/>
      <c r="AM19" s="8"/>
      <c r="AN19" s="8"/>
      <c r="AO19" s="8"/>
      <c r="AP19" s="8"/>
      <c r="AQ19" s="8"/>
      <c r="AR19" s="8"/>
      <c r="AS19" s="43">
        <f t="shared" si="0"/>
        <v>0</v>
      </c>
      <c r="AT19" s="48">
        <f t="shared" si="2"/>
        <v>0</v>
      </c>
      <c r="AU19" s="60">
        <f t="shared" si="6"/>
        <v>0</v>
      </c>
      <c r="AV19" s="56">
        <f t="shared" si="3"/>
        <v>0</v>
      </c>
      <c r="AW19" s="52"/>
      <c r="AX19" s="24"/>
      <c r="AY19" s="48">
        <f t="shared" si="4"/>
        <v>0</v>
      </c>
      <c r="AZ19" s="61">
        <f t="shared" si="5"/>
        <v>0</v>
      </c>
      <c r="BA19" s="37"/>
      <c r="BB19" s="40"/>
    </row>
    <row r="20" spans="2:54" s="1" customFormat="1" ht="17.25" customHeight="1" x14ac:dyDescent="0.5">
      <c r="B20" s="23">
        <f t="shared" si="1"/>
        <v>9</v>
      </c>
      <c r="C20" s="18" t="s">
        <v>25</v>
      </c>
      <c r="D20" s="35">
        <v>11879</v>
      </c>
      <c r="E20" s="60"/>
      <c r="F20" s="46"/>
      <c r="G20" s="46"/>
      <c r="H20" s="7"/>
      <c r="I20" s="7"/>
      <c r="J20" s="60"/>
      <c r="K20" s="7"/>
      <c r="L20" s="7"/>
      <c r="M20" s="46"/>
      <c r="N20" s="46"/>
      <c r="O20" s="7"/>
      <c r="P20" s="7"/>
      <c r="Q20" s="7"/>
      <c r="R20" s="7"/>
      <c r="S20" s="7"/>
      <c r="T20" s="46"/>
      <c r="U20" s="46"/>
      <c r="V20" s="7"/>
      <c r="W20" s="7"/>
      <c r="X20" s="7"/>
      <c r="Y20" s="7"/>
      <c r="Z20" s="7"/>
      <c r="AA20" s="46"/>
      <c r="AB20" s="46"/>
      <c r="AC20" s="60"/>
      <c r="AD20" s="7"/>
      <c r="AE20" s="7"/>
      <c r="AF20" s="7"/>
      <c r="AG20" s="7"/>
      <c r="AH20" s="46"/>
      <c r="AI20" s="46"/>
      <c r="AJ20" s="7"/>
      <c r="AK20" s="7"/>
      <c r="AL20" s="7"/>
      <c r="AM20" s="7"/>
      <c r="AN20" s="7"/>
      <c r="AO20" s="7"/>
      <c r="AP20" s="7"/>
      <c r="AQ20" s="19"/>
      <c r="AR20" s="19"/>
      <c r="AS20" s="43">
        <f t="shared" si="0"/>
        <v>0</v>
      </c>
      <c r="AT20" s="48">
        <f t="shared" si="2"/>
        <v>0</v>
      </c>
      <c r="AU20" s="60">
        <f t="shared" si="6"/>
        <v>0</v>
      </c>
      <c r="AV20" s="56">
        <f t="shared" si="3"/>
        <v>0</v>
      </c>
      <c r="AW20" s="52"/>
      <c r="AX20" s="24"/>
      <c r="AY20" s="48">
        <f t="shared" si="4"/>
        <v>0</v>
      </c>
      <c r="AZ20" s="61">
        <f t="shared" si="5"/>
        <v>0</v>
      </c>
      <c r="BA20" s="37"/>
      <c r="BB20" s="40"/>
    </row>
    <row r="21" spans="2:54" s="1" customFormat="1" ht="17.25" customHeight="1" x14ac:dyDescent="0.5">
      <c r="B21" s="23">
        <f t="shared" si="1"/>
        <v>10</v>
      </c>
      <c r="C21" s="18" t="s">
        <v>26</v>
      </c>
      <c r="D21" s="35">
        <v>11873</v>
      </c>
      <c r="E21" s="60"/>
      <c r="F21" s="46"/>
      <c r="G21" s="46"/>
      <c r="H21" s="7"/>
      <c r="I21" s="7"/>
      <c r="J21" s="60"/>
      <c r="K21" s="7"/>
      <c r="L21" s="7"/>
      <c r="M21" s="46"/>
      <c r="N21" s="46"/>
      <c r="O21" s="7"/>
      <c r="P21" s="7"/>
      <c r="Q21" s="7"/>
      <c r="R21" s="7"/>
      <c r="S21" s="7"/>
      <c r="T21" s="46"/>
      <c r="U21" s="46"/>
      <c r="V21" s="7"/>
      <c r="W21" s="7"/>
      <c r="X21" s="7"/>
      <c r="Y21" s="7"/>
      <c r="Z21" s="7"/>
      <c r="AA21" s="46"/>
      <c r="AB21" s="46"/>
      <c r="AC21" s="60"/>
      <c r="AD21" s="7"/>
      <c r="AE21" s="7"/>
      <c r="AF21" s="7"/>
      <c r="AG21" s="7"/>
      <c r="AH21" s="46"/>
      <c r="AI21" s="46"/>
      <c r="AJ21" s="7"/>
      <c r="AK21" s="7"/>
      <c r="AL21" s="7"/>
      <c r="AM21" s="7"/>
      <c r="AN21" s="7"/>
      <c r="AO21" s="7"/>
      <c r="AP21" s="7"/>
      <c r="AQ21" s="19"/>
      <c r="AR21" s="19"/>
      <c r="AS21" s="43">
        <f>SUM(E21:AI21)-AY21</f>
        <v>0</v>
      </c>
      <c r="AT21" s="48">
        <f t="shared" si="2"/>
        <v>0</v>
      </c>
      <c r="AU21" s="60">
        <f t="shared" si="6"/>
        <v>0</v>
      </c>
      <c r="AV21" s="56">
        <f t="shared" si="3"/>
        <v>0</v>
      </c>
      <c r="AW21" s="52"/>
      <c r="AX21" s="24"/>
      <c r="AY21" s="48">
        <f t="shared" si="4"/>
        <v>0</v>
      </c>
      <c r="AZ21" s="61">
        <f t="shared" si="5"/>
        <v>0</v>
      </c>
      <c r="BA21" s="37"/>
      <c r="BB21" s="40"/>
    </row>
    <row r="22" spans="2:54" s="1" customFormat="1" ht="17.25" customHeight="1" x14ac:dyDescent="0.5">
      <c r="B22" s="23">
        <f t="shared" si="1"/>
        <v>11</v>
      </c>
      <c r="C22" s="18" t="s">
        <v>28</v>
      </c>
      <c r="D22" s="35">
        <v>11898</v>
      </c>
      <c r="E22" s="60"/>
      <c r="F22" s="46"/>
      <c r="G22" s="46"/>
      <c r="H22" s="7"/>
      <c r="I22" s="7"/>
      <c r="J22" s="60"/>
      <c r="K22" s="7"/>
      <c r="L22" s="7"/>
      <c r="M22" s="46"/>
      <c r="N22" s="46"/>
      <c r="O22" s="7"/>
      <c r="P22" s="7"/>
      <c r="Q22" s="7"/>
      <c r="R22" s="7"/>
      <c r="S22" s="7"/>
      <c r="T22" s="46"/>
      <c r="U22" s="46"/>
      <c r="V22" s="7"/>
      <c r="W22" s="7"/>
      <c r="X22" s="7"/>
      <c r="Y22" s="7"/>
      <c r="Z22" s="7"/>
      <c r="AA22" s="46"/>
      <c r="AB22" s="46"/>
      <c r="AC22" s="60"/>
      <c r="AD22" s="7"/>
      <c r="AE22" s="7"/>
      <c r="AF22" s="7"/>
      <c r="AG22" s="7"/>
      <c r="AH22" s="46"/>
      <c r="AI22" s="46"/>
      <c r="AJ22" s="7"/>
      <c r="AK22" s="7"/>
      <c r="AL22" s="7"/>
      <c r="AM22" s="7"/>
      <c r="AN22" s="7"/>
      <c r="AO22" s="7"/>
      <c r="AP22" s="7"/>
      <c r="AQ22" s="19"/>
      <c r="AR22" s="19"/>
      <c r="AS22" s="43">
        <f t="shared" ref="AS22:AS30" si="7">SUM(E22:AI22)-AY22</f>
        <v>0</v>
      </c>
      <c r="AT22" s="48">
        <f t="shared" si="2"/>
        <v>0</v>
      </c>
      <c r="AU22" s="60">
        <f t="shared" si="6"/>
        <v>0</v>
      </c>
      <c r="AV22" s="56">
        <f t="shared" si="3"/>
        <v>0</v>
      </c>
      <c r="AW22" s="52"/>
      <c r="AX22" s="24"/>
      <c r="AY22" s="48">
        <f t="shared" si="4"/>
        <v>0</v>
      </c>
      <c r="AZ22" s="61">
        <f t="shared" si="5"/>
        <v>0</v>
      </c>
      <c r="BA22" s="37"/>
      <c r="BB22" s="40"/>
    </row>
    <row r="23" spans="2:54" s="1" customFormat="1" ht="17.25" customHeight="1" x14ac:dyDescent="0.5">
      <c r="B23" s="23">
        <f t="shared" si="1"/>
        <v>12</v>
      </c>
      <c r="C23" s="18" t="s">
        <v>16</v>
      </c>
      <c r="D23" s="35">
        <v>11387</v>
      </c>
      <c r="E23" s="60"/>
      <c r="F23" s="46"/>
      <c r="G23" s="46"/>
      <c r="H23" s="7"/>
      <c r="I23" s="7"/>
      <c r="J23" s="60"/>
      <c r="K23" s="7"/>
      <c r="L23" s="7"/>
      <c r="M23" s="46"/>
      <c r="N23" s="46"/>
      <c r="O23" s="7"/>
      <c r="P23" s="7"/>
      <c r="Q23" s="7"/>
      <c r="R23" s="7"/>
      <c r="S23" s="7"/>
      <c r="T23" s="46"/>
      <c r="U23" s="46"/>
      <c r="V23" s="7"/>
      <c r="W23" s="7"/>
      <c r="X23" s="7"/>
      <c r="Y23" s="7"/>
      <c r="Z23" s="7"/>
      <c r="AA23" s="46"/>
      <c r="AB23" s="46"/>
      <c r="AC23" s="60"/>
      <c r="AD23" s="7"/>
      <c r="AE23" s="7"/>
      <c r="AF23" s="7"/>
      <c r="AG23" s="7"/>
      <c r="AH23" s="46"/>
      <c r="AI23" s="46"/>
      <c r="AJ23" s="7"/>
      <c r="AK23" s="7"/>
      <c r="AL23" s="7"/>
      <c r="AM23" s="7"/>
      <c r="AN23" s="7"/>
      <c r="AO23" s="7"/>
      <c r="AP23" s="7"/>
      <c r="AQ23" s="19"/>
      <c r="AR23" s="19"/>
      <c r="AS23" s="43">
        <f t="shared" si="7"/>
        <v>0</v>
      </c>
      <c r="AT23" s="48">
        <f t="shared" si="2"/>
        <v>0</v>
      </c>
      <c r="AU23" s="60">
        <f t="shared" si="6"/>
        <v>0</v>
      </c>
      <c r="AV23" s="56">
        <f t="shared" si="3"/>
        <v>0</v>
      </c>
      <c r="AW23" s="52"/>
      <c r="AX23" s="24"/>
      <c r="AY23" s="48">
        <f t="shared" si="4"/>
        <v>0</v>
      </c>
      <c r="AZ23" s="61">
        <f t="shared" si="5"/>
        <v>0</v>
      </c>
      <c r="BA23" s="37"/>
      <c r="BB23" s="40"/>
    </row>
    <row r="24" spans="2:54" s="1" customFormat="1" ht="17.25" customHeight="1" x14ac:dyDescent="0.5">
      <c r="B24" s="23">
        <f t="shared" si="1"/>
        <v>13</v>
      </c>
      <c r="C24" s="18" t="s">
        <v>42</v>
      </c>
      <c r="D24" s="35">
        <v>12435</v>
      </c>
      <c r="E24" s="60"/>
      <c r="F24" s="46"/>
      <c r="G24" s="46"/>
      <c r="H24" s="7"/>
      <c r="I24" s="7"/>
      <c r="J24" s="60"/>
      <c r="K24" s="7"/>
      <c r="L24" s="7"/>
      <c r="M24" s="46"/>
      <c r="N24" s="46"/>
      <c r="O24" s="7"/>
      <c r="P24" s="7"/>
      <c r="Q24" s="7"/>
      <c r="R24" s="7"/>
      <c r="S24" s="7"/>
      <c r="T24" s="46"/>
      <c r="U24" s="46"/>
      <c r="V24" s="7"/>
      <c r="W24" s="7"/>
      <c r="X24" s="7"/>
      <c r="Y24" s="7"/>
      <c r="Z24" s="7"/>
      <c r="AA24" s="46"/>
      <c r="AB24" s="46"/>
      <c r="AC24" s="60"/>
      <c r="AD24" s="7"/>
      <c r="AE24" s="7"/>
      <c r="AF24" s="7"/>
      <c r="AG24" s="7"/>
      <c r="AH24" s="46"/>
      <c r="AI24" s="46"/>
      <c r="AJ24" s="7"/>
      <c r="AK24" s="7"/>
      <c r="AL24" s="7"/>
      <c r="AM24" s="7"/>
      <c r="AN24" s="7"/>
      <c r="AO24" s="7"/>
      <c r="AP24" s="7"/>
      <c r="AQ24" s="19"/>
      <c r="AR24" s="19"/>
      <c r="AS24" s="43">
        <f t="shared" si="7"/>
        <v>0</v>
      </c>
      <c r="AT24" s="48">
        <f t="shared" si="2"/>
        <v>0</v>
      </c>
      <c r="AU24" s="60">
        <f t="shared" si="6"/>
        <v>0</v>
      </c>
      <c r="AV24" s="56">
        <f t="shared" si="3"/>
        <v>0</v>
      </c>
      <c r="AW24" s="52"/>
      <c r="AX24" s="24"/>
      <c r="AY24" s="48">
        <f t="shared" si="4"/>
        <v>0</v>
      </c>
      <c r="AZ24" s="61">
        <f t="shared" si="5"/>
        <v>0</v>
      </c>
      <c r="BA24" s="37"/>
      <c r="BB24" s="40"/>
    </row>
    <row r="25" spans="2:54" s="1" customFormat="1" ht="17.25" customHeight="1" x14ac:dyDescent="0.5">
      <c r="B25" s="23">
        <f t="shared" si="1"/>
        <v>14</v>
      </c>
      <c r="C25" s="18" t="s">
        <v>41</v>
      </c>
      <c r="D25" s="35">
        <v>12443</v>
      </c>
      <c r="E25" s="60"/>
      <c r="F25" s="46"/>
      <c r="G25" s="46"/>
      <c r="H25" s="7"/>
      <c r="I25" s="7"/>
      <c r="J25" s="60"/>
      <c r="K25" s="7"/>
      <c r="L25" s="7"/>
      <c r="M25" s="46"/>
      <c r="N25" s="46"/>
      <c r="O25" s="7"/>
      <c r="P25" s="7"/>
      <c r="Q25" s="7"/>
      <c r="R25" s="7"/>
      <c r="S25" s="7"/>
      <c r="T25" s="46"/>
      <c r="U25" s="46"/>
      <c r="V25" s="7"/>
      <c r="W25" s="7"/>
      <c r="X25" s="7"/>
      <c r="Y25" s="7"/>
      <c r="Z25" s="7"/>
      <c r="AA25" s="46"/>
      <c r="AB25" s="46"/>
      <c r="AC25" s="60"/>
      <c r="AD25" s="7"/>
      <c r="AE25" s="7"/>
      <c r="AF25" s="7"/>
      <c r="AG25" s="7"/>
      <c r="AH25" s="46"/>
      <c r="AI25" s="46"/>
      <c r="AJ25" s="7"/>
      <c r="AK25" s="7"/>
      <c r="AL25" s="7"/>
      <c r="AM25" s="7"/>
      <c r="AN25" s="7"/>
      <c r="AO25" s="7"/>
      <c r="AP25" s="7"/>
      <c r="AQ25" s="19"/>
      <c r="AR25" s="19"/>
      <c r="AS25" s="43">
        <f t="shared" si="7"/>
        <v>0</v>
      </c>
      <c r="AT25" s="48">
        <f t="shared" si="2"/>
        <v>0</v>
      </c>
      <c r="AU25" s="60">
        <f t="shared" si="6"/>
        <v>0</v>
      </c>
      <c r="AV25" s="56">
        <f t="shared" si="3"/>
        <v>0</v>
      </c>
      <c r="AW25" s="52"/>
      <c r="AX25" s="24"/>
      <c r="AY25" s="48">
        <f t="shared" si="4"/>
        <v>0</v>
      </c>
      <c r="AZ25" s="61">
        <f t="shared" si="5"/>
        <v>0</v>
      </c>
      <c r="BA25" s="37"/>
      <c r="BB25" s="40"/>
    </row>
    <row r="26" spans="2:54" s="1" customFormat="1" ht="20.100000000000001" customHeight="1" x14ac:dyDescent="0.5">
      <c r="B26" s="23">
        <f t="shared" si="1"/>
        <v>15</v>
      </c>
      <c r="C26" s="27" t="s">
        <v>20</v>
      </c>
      <c r="D26" s="36">
        <v>11153</v>
      </c>
      <c r="E26" s="60"/>
      <c r="F26" s="46"/>
      <c r="G26" s="46"/>
      <c r="H26" s="28"/>
      <c r="I26" s="28"/>
      <c r="J26" s="60"/>
      <c r="K26" s="28"/>
      <c r="L26" s="28"/>
      <c r="M26" s="46"/>
      <c r="N26" s="46"/>
      <c r="O26" s="28"/>
      <c r="P26" s="28"/>
      <c r="Q26" s="28"/>
      <c r="R26" s="28"/>
      <c r="S26" s="28"/>
      <c r="T26" s="46"/>
      <c r="U26" s="46"/>
      <c r="V26" s="28"/>
      <c r="W26" s="28"/>
      <c r="X26" s="28"/>
      <c r="Y26" s="28"/>
      <c r="Z26" s="28"/>
      <c r="AA26" s="46"/>
      <c r="AB26" s="46"/>
      <c r="AC26" s="60"/>
      <c r="AD26" s="28"/>
      <c r="AE26" s="28"/>
      <c r="AF26" s="28"/>
      <c r="AG26" s="28"/>
      <c r="AH26" s="46"/>
      <c r="AI26" s="46"/>
      <c r="AJ26" s="28"/>
      <c r="AK26" s="28"/>
      <c r="AL26" s="28"/>
      <c r="AM26" s="28"/>
      <c r="AN26" s="28"/>
      <c r="AO26" s="28"/>
      <c r="AP26" s="28"/>
      <c r="AQ26" s="28"/>
      <c r="AR26" s="28"/>
      <c r="AS26" s="43">
        <f t="shared" si="7"/>
        <v>0</v>
      </c>
      <c r="AT26" s="48">
        <f t="shared" si="2"/>
        <v>0</v>
      </c>
      <c r="AU26" s="60">
        <f t="shared" si="6"/>
        <v>0</v>
      </c>
      <c r="AV26" s="56">
        <f t="shared" si="3"/>
        <v>0</v>
      </c>
      <c r="AW26" s="53"/>
      <c r="AX26" s="24"/>
      <c r="AY26" s="48">
        <f t="shared" si="4"/>
        <v>0</v>
      </c>
      <c r="AZ26" s="61">
        <f t="shared" si="5"/>
        <v>0</v>
      </c>
      <c r="BA26" s="37"/>
      <c r="BB26" s="40"/>
    </row>
    <row r="27" spans="2:54" s="1" customFormat="1" ht="20.100000000000001" customHeight="1" thickBot="1" x14ac:dyDescent="0.55000000000000004">
      <c r="B27" s="23">
        <f t="shared" si="1"/>
        <v>16</v>
      </c>
      <c r="C27" s="27" t="s">
        <v>31</v>
      </c>
      <c r="D27" s="36">
        <v>11336</v>
      </c>
      <c r="E27" s="60"/>
      <c r="F27" s="46"/>
      <c r="G27" s="46">
        <v>8</v>
      </c>
      <c r="H27" s="28" t="s">
        <v>52</v>
      </c>
      <c r="I27" s="28" t="s">
        <v>52</v>
      </c>
      <c r="J27" s="60"/>
      <c r="K27" s="28" t="s">
        <v>52</v>
      </c>
      <c r="L27" s="28" t="s">
        <v>52</v>
      </c>
      <c r="M27" s="46"/>
      <c r="N27" s="46"/>
      <c r="O27" s="28" t="s">
        <v>52</v>
      </c>
      <c r="P27" s="28" t="s">
        <v>52</v>
      </c>
      <c r="Q27" s="28" t="s">
        <v>52</v>
      </c>
      <c r="R27" s="28" t="s">
        <v>52</v>
      </c>
      <c r="S27" s="28" t="s">
        <v>52</v>
      </c>
      <c r="T27" s="46"/>
      <c r="U27" s="46"/>
      <c r="V27" s="28">
        <v>8</v>
      </c>
      <c r="W27" s="28">
        <v>8</v>
      </c>
      <c r="X27" s="28">
        <v>8</v>
      </c>
      <c r="Y27" s="28">
        <v>8</v>
      </c>
      <c r="Z27" s="28">
        <v>8</v>
      </c>
      <c r="AA27" s="46"/>
      <c r="AB27" s="46"/>
      <c r="AC27" s="60"/>
      <c r="AD27" s="28" t="s">
        <v>52</v>
      </c>
      <c r="AE27" s="28" t="s">
        <v>52</v>
      </c>
      <c r="AF27" s="28"/>
      <c r="AG27" s="28"/>
      <c r="AH27" s="46"/>
      <c r="AI27" s="46"/>
      <c r="AJ27" s="28"/>
      <c r="AK27" s="28"/>
      <c r="AL27" s="28"/>
      <c r="AM27" s="28"/>
      <c r="AN27" s="28"/>
      <c r="AO27" s="28"/>
      <c r="AP27" s="28"/>
      <c r="AQ27" s="28"/>
      <c r="AR27" s="28"/>
      <c r="AS27" s="43">
        <f t="shared" si="7"/>
        <v>40</v>
      </c>
      <c r="AT27" s="48">
        <f t="shared" si="2"/>
        <v>8</v>
      </c>
      <c r="AU27" s="60">
        <f t="shared" si="6"/>
        <v>0</v>
      </c>
      <c r="AV27" s="56">
        <f t="shared" si="3"/>
        <v>48</v>
      </c>
      <c r="AW27" s="54"/>
      <c r="AX27" s="24"/>
      <c r="AY27" s="48">
        <f t="shared" si="4"/>
        <v>8</v>
      </c>
      <c r="AZ27" s="61">
        <f t="shared" si="5"/>
        <v>0</v>
      </c>
      <c r="BA27" s="37"/>
      <c r="BB27" s="40"/>
    </row>
    <row r="28" spans="2:54" s="1" customFormat="1" ht="20.100000000000001" customHeight="1" thickBot="1" x14ac:dyDescent="0.55000000000000004">
      <c r="B28" s="23">
        <f t="shared" si="1"/>
        <v>17</v>
      </c>
      <c r="C28" s="18" t="s">
        <v>32</v>
      </c>
      <c r="D28" s="35">
        <v>11328</v>
      </c>
      <c r="E28" s="60"/>
      <c r="F28" s="46">
        <v>8</v>
      </c>
      <c r="G28" s="46"/>
      <c r="H28" s="7">
        <v>8</v>
      </c>
      <c r="I28" s="7">
        <v>8</v>
      </c>
      <c r="J28" s="60"/>
      <c r="K28" s="7">
        <v>8</v>
      </c>
      <c r="L28" s="7">
        <v>8</v>
      </c>
      <c r="M28" s="46">
        <v>8</v>
      </c>
      <c r="N28" s="46"/>
      <c r="O28" s="7">
        <v>8</v>
      </c>
      <c r="P28" s="7">
        <v>8</v>
      </c>
      <c r="Q28" s="7">
        <v>8</v>
      </c>
      <c r="R28" s="7">
        <v>8</v>
      </c>
      <c r="S28" s="7">
        <v>8</v>
      </c>
      <c r="T28" s="46"/>
      <c r="U28" s="46"/>
      <c r="V28" s="7" t="s">
        <v>52</v>
      </c>
      <c r="W28" s="7" t="s">
        <v>52</v>
      </c>
      <c r="X28" s="7" t="s">
        <v>52</v>
      </c>
      <c r="Y28" s="7" t="s">
        <v>52</v>
      </c>
      <c r="Z28" s="7" t="s">
        <v>52</v>
      </c>
      <c r="AA28" s="46"/>
      <c r="AB28" s="46"/>
      <c r="AC28" s="60"/>
      <c r="AD28" s="7" t="s">
        <v>52</v>
      </c>
      <c r="AE28" s="7" t="s">
        <v>52</v>
      </c>
      <c r="AF28" s="7" t="s">
        <v>52</v>
      </c>
      <c r="AG28" s="7" t="s">
        <v>52</v>
      </c>
      <c r="AH28" s="46"/>
      <c r="AI28" s="46"/>
      <c r="AJ28" s="7"/>
      <c r="AK28" s="7"/>
      <c r="AL28" s="7"/>
      <c r="AM28" s="7"/>
      <c r="AN28" s="7"/>
      <c r="AO28" s="7"/>
      <c r="AP28" s="7"/>
      <c r="AQ28" s="19"/>
      <c r="AR28" s="19"/>
      <c r="AS28" s="43">
        <f>SUM(E28:AI28)-AY28-O28-Q28</f>
        <v>56</v>
      </c>
      <c r="AT28" s="48">
        <f t="shared" si="2"/>
        <v>16</v>
      </c>
      <c r="AU28" s="60">
        <f t="shared" si="6"/>
        <v>0</v>
      </c>
      <c r="AV28" s="56">
        <f t="shared" si="3"/>
        <v>72</v>
      </c>
      <c r="AW28" s="38"/>
      <c r="AX28" s="24"/>
      <c r="AY28" s="48">
        <f t="shared" si="4"/>
        <v>16</v>
      </c>
      <c r="AZ28" s="61">
        <f t="shared" si="5"/>
        <v>0</v>
      </c>
      <c r="BA28" s="37"/>
      <c r="BB28" s="40"/>
    </row>
    <row r="29" spans="2:54" s="1" customFormat="1" ht="20.100000000000001" customHeight="1" thickBot="1" x14ac:dyDescent="0.55000000000000004">
      <c r="B29" s="23">
        <f t="shared" si="1"/>
        <v>18</v>
      </c>
      <c r="C29" s="18" t="s">
        <v>29</v>
      </c>
      <c r="D29" s="35">
        <v>11880</v>
      </c>
      <c r="E29" s="60"/>
      <c r="F29" s="46"/>
      <c r="G29" s="46"/>
      <c r="H29" s="7">
        <v>8</v>
      </c>
      <c r="I29" s="7" t="s">
        <v>52</v>
      </c>
      <c r="J29" s="60"/>
      <c r="K29" s="7">
        <v>8</v>
      </c>
      <c r="L29" s="7">
        <v>8</v>
      </c>
      <c r="M29" s="46"/>
      <c r="N29" s="46">
        <v>8</v>
      </c>
      <c r="O29" s="7">
        <v>8</v>
      </c>
      <c r="P29" s="7">
        <v>8</v>
      </c>
      <c r="Q29" s="7">
        <v>8</v>
      </c>
      <c r="R29" s="7">
        <v>8</v>
      </c>
      <c r="S29" s="7">
        <v>8</v>
      </c>
      <c r="T29" s="46"/>
      <c r="U29" s="46"/>
      <c r="V29" s="7">
        <v>8</v>
      </c>
      <c r="W29" s="7">
        <v>8</v>
      </c>
      <c r="X29" s="7">
        <v>8</v>
      </c>
      <c r="Y29" s="7">
        <v>8</v>
      </c>
      <c r="Z29" s="7">
        <v>8</v>
      </c>
      <c r="AA29" s="46"/>
      <c r="AB29" s="46"/>
      <c r="AC29" s="60"/>
      <c r="AD29" s="7">
        <v>6</v>
      </c>
      <c r="AE29" s="7">
        <v>8</v>
      </c>
      <c r="AF29" s="7" t="s">
        <v>52</v>
      </c>
      <c r="AG29" s="7" t="s">
        <v>52</v>
      </c>
      <c r="AH29" s="46"/>
      <c r="AI29" s="46"/>
      <c r="AJ29" s="7"/>
      <c r="AK29" s="7"/>
      <c r="AL29" s="7"/>
      <c r="AM29" s="7"/>
      <c r="AN29" s="7"/>
      <c r="AO29" s="7"/>
      <c r="AP29" s="7"/>
      <c r="AQ29" s="19"/>
      <c r="AR29" s="19"/>
      <c r="AS29" s="43">
        <f>SUM(E29:AI29)-AY29-N29</f>
        <v>110</v>
      </c>
      <c r="AT29" s="48">
        <f t="shared" si="2"/>
        <v>8</v>
      </c>
      <c r="AU29" s="60">
        <f t="shared" si="6"/>
        <v>0</v>
      </c>
      <c r="AV29" s="56">
        <f t="shared" si="3"/>
        <v>118</v>
      </c>
      <c r="AW29" s="38"/>
      <c r="AX29" s="24"/>
      <c r="AY29" s="48">
        <f t="shared" si="4"/>
        <v>8</v>
      </c>
      <c r="AZ29" s="61">
        <f t="shared" si="5"/>
        <v>0</v>
      </c>
      <c r="BA29" s="37"/>
      <c r="BB29" s="40"/>
    </row>
    <row r="30" spans="2:54" s="1" customFormat="1" ht="20.100000000000001" customHeight="1" thickBot="1" x14ac:dyDescent="0.55000000000000004">
      <c r="B30" s="23">
        <f t="shared" si="1"/>
        <v>19</v>
      </c>
      <c r="C30" s="16" t="s">
        <v>37</v>
      </c>
      <c r="D30" s="34">
        <v>12427</v>
      </c>
      <c r="E30" s="60"/>
      <c r="F30" s="46"/>
      <c r="G30" s="46"/>
      <c r="H30" s="8"/>
      <c r="I30" s="8"/>
      <c r="J30" s="60"/>
      <c r="K30" s="8"/>
      <c r="L30" s="8"/>
      <c r="M30" s="46"/>
      <c r="N30" s="46"/>
      <c r="O30" s="8"/>
      <c r="P30" s="8"/>
      <c r="Q30" s="8"/>
      <c r="R30" s="8"/>
      <c r="S30" s="8"/>
      <c r="T30" s="46"/>
      <c r="U30" s="46"/>
      <c r="V30" s="8"/>
      <c r="W30" s="8"/>
      <c r="X30" s="8"/>
      <c r="Y30" s="8"/>
      <c r="Z30" s="8"/>
      <c r="AA30" s="46"/>
      <c r="AB30" s="46"/>
      <c r="AC30" s="60"/>
      <c r="AD30" s="8"/>
      <c r="AE30" s="8"/>
      <c r="AF30" s="8"/>
      <c r="AG30" s="8"/>
      <c r="AH30" s="46"/>
      <c r="AI30" s="46"/>
      <c r="AJ30" s="8"/>
      <c r="AK30" s="8"/>
      <c r="AL30" s="8"/>
      <c r="AM30" s="8"/>
      <c r="AN30" s="8"/>
      <c r="AO30" s="8"/>
      <c r="AP30" s="8"/>
      <c r="AQ30" s="8"/>
      <c r="AR30" s="8"/>
      <c r="AS30" s="43">
        <f t="shared" si="7"/>
        <v>0</v>
      </c>
      <c r="AT30" s="48">
        <f t="shared" si="2"/>
        <v>0</v>
      </c>
      <c r="AU30" s="60">
        <f t="shared" si="6"/>
        <v>0</v>
      </c>
      <c r="AV30" s="56">
        <f t="shared" si="3"/>
        <v>0</v>
      </c>
      <c r="AW30" s="38"/>
      <c r="AX30" s="24"/>
      <c r="AY30" s="48">
        <f t="shared" si="4"/>
        <v>0</v>
      </c>
      <c r="AZ30" s="61">
        <f t="shared" si="5"/>
        <v>0</v>
      </c>
      <c r="BA30" s="37"/>
      <c r="BB30" s="40"/>
    </row>
    <row r="31" spans="2:54" s="1" customFormat="1" ht="20.100000000000001" customHeight="1" thickBot="1" x14ac:dyDescent="0.55000000000000004">
      <c r="B31" s="23">
        <f t="shared" si="1"/>
        <v>20</v>
      </c>
      <c r="C31" s="18" t="s">
        <v>43</v>
      </c>
      <c r="D31" s="35">
        <v>12446</v>
      </c>
      <c r="E31" s="60"/>
      <c r="F31" s="46"/>
      <c r="G31" s="46"/>
      <c r="H31" s="7"/>
      <c r="I31" s="7"/>
      <c r="J31" s="60"/>
      <c r="K31" s="7"/>
      <c r="L31" s="7"/>
      <c r="M31" s="46"/>
      <c r="N31" s="46"/>
      <c r="O31" s="7"/>
      <c r="P31" s="7"/>
      <c r="Q31" s="7"/>
      <c r="R31" s="7"/>
      <c r="S31" s="7"/>
      <c r="T31" s="46"/>
      <c r="U31" s="46"/>
      <c r="V31" s="7"/>
      <c r="W31" s="7"/>
      <c r="X31" s="7"/>
      <c r="Y31" s="7"/>
      <c r="Z31" s="7"/>
      <c r="AA31" s="46"/>
      <c r="AB31" s="46"/>
      <c r="AC31" s="60"/>
      <c r="AD31" s="7"/>
      <c r="AE31" s="7"/>
      <c r="AF31" s="7"/>
      <c r="AG31" s="7"/>
      <c r="AH31" s="46"/>
      <c r="AI31" s="46"/>
      <c r="AJ31" s="7"/>
      <c r="AK31" s="7"/>
      <c r="AL31" s="7"/>
      <c r="AM31" s="7"/>
      <c r="AN31" s="7"/>
      <c r="AO31" s="7"/>
      <c r="AP31" s="7"/>
      <c r="AQ31" s="19"/>
      <c r="AR31" s="19"/>
      <c r="AS31" s="43">
        <f>SUM(E31:AI31)-AY31-Q31</f>
        <v>0</v>
      </c>
      <c r="AT31" s="48">
        <f t="shared" si="2"/>
        <v>0</v>
      </c>
      <c r="AU31" s="60">
        <f t="shared" si="6"/>
        <v>0</v>
      </c>
      <c r="AV31" s="56">
        <f t="shared" si="3"/>
        <v>0</v>
      </c>
      <c r="AW31" s="38"/>
      <c r="AX31" s="24"/>
      <c r="AY31" s="48">
        <f t="shared" si="4"/>
        <v>0</v>
      </c>
      <c r="AZ31" s="61">
        <f t="shared" si="5"/>
        <v>0</v>
      </c>
      <c r="BA31" s="37"/>
      <c r="BB31" s="40"/>
    </row>
    <row r="32" spans="2:54" ht="16.5" thickBot="1" x14ac:dyDescent="0.3">
      <c r="B32" s="25"/>
      <c r="C32" s="29"/>
      <c r="D32" s="29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1"/>
      <c r="AK32" s="32"/>
      <c r="AL32" s="32"/>
      <c r="AM32" s="32"/>
      <c r="AN32" s="32"/>
      <c r="AO32" s="32"/>
      <c r="AP32" s="32"/>
      <c r="AQ32" s="32"/>
      <c r="AR32" s="32"/>
      <c r="AS32" s="42">
        <f>SUM(AS12:AS31)</f>
        <v>206</v>
      </c>
      <c r="AT32" s="49">
        <f>SUM(AT13:AT31)</f>
        <v>32</v>
      </c>
      <c r="AU32" s="49">
        <f>SUM(AU13:AU31)</f>
        <v>0</v>
      </c>
      <c r="AV32" s="57">
        <f>SUM(AV12:AV31)</f>
        <v>238</v>
      </c>
      <c r="AW32" s="26"/>
      <c r="AX32" s="24"/>
      <c r="AY32" s="57">
        <f t="shared" ref="AY32:AZ32" si="8">SUM(AY12:AY31)</f>
        <v>32</v>
      </c>
      <c r="AZ32" s="57">
        <f t="shared" si="8"/>
        <v>0</v>
      </c>
      <c r="BA32" s="59"/>
      <c r="BB32" s="59"/>
    </row>
    <row r="33" spans="2:50" ht="15.75" x14ac:dyDescent="0.25">
      <c r="B33" s="6"/>
      <c r="C33" s="44"/>
      <c r="D33" s="4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45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55"/>
      <c r="AW33" s="6"/>
      <c r="AX33" s="24"/>
    </row>
    <row r="34" spans="2:50" ht="15.75" x14ac:dyDescent="0.25">
      <c r="B34" s="6"/>
      <c r="C34" s="44"/>
      <c r="D34" s="4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45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55"/>
      <c r="AW34" s="6"/>
      <c r="AX34" s="24"/>
    </row>
    <row r="35" spans="2:50" x14ac:dyDescent="0.25">
      <c r="D35" s="47"/>
      <c r="F35" s="5"/>
      <c r="G35" s="5"/>
      <c r="K35" s="2"/>
      <c r="R35" s="2"/>
      <c r="AB35" s="2"/>
      <c r="AH35" t="s">
        <v>22</v>
      </c>
    </row>
    <row r="36" spans="2:50" x14ac:dyDescent="0.25">
      <c r="D36" s="47"/>
      <c r="AN36" t="s">
        <v>23</v>
      </c>
    </row>
    <row r="37" spans="2:50" x14ac:dyDescent="0.25">
      <c r="C37" s="39"/>
      <c r="D37" s="40"/>
    </row>
    <row r="38" spans="2:50" x14ac:dyDescent="0.25">
      <c r="C38" s="39"/>
      <c r="D38" s="40"/>
    </row>
  </sheetData>
  <mergeCells count="23">
    <mergeCell ref="AS2:AV7"/>
    <mergeCell ref="B1:AV1"/>
    <mergeCell ref="AJ10:AJ11"/>
    <mergeCell ref="AS10:AS11"/>
    <mergeCell ref="AT10:AT11"/>
    <mergeCell ref="AU10:AU11"/>
    <mergeCell ref="AV10:AV11"/>
    <mergeCell ref="B2:C6"/>
    <mergeCell ref="D2:AR7"/>
    <mergeCell ref="B7:C7"/>
    <mergeCell ref="AK10:AK11"/>
    <mergeCell ref="AS9:AV9"/>
    <mergeCell ref="AL9:AR9"/>
    <mergeCell ref="AJ9:AK9"/>
    <mergeCell ref="E9:AI10"/>
    <mergeCell ref="B8:AV8"/>
    <mergeCell ref="BA9:BA10"/>
    <mergeCell ref="BB9:BB10"/>
    <mergeCell ref="AY9:AY11"/>
    <mergeCell ref="AZ9:AZ11"/>
    <mergeCell ref="B9:B11"/>
    <mergeCell ref="C9:C11"/>
    <mergeCell ref="D9:D11"/>
  </mergeCells>
  <printOptions verticalCentered="1"/>
  <pageMargins left="0.25" right="0.25" top="0.75" bottom="0.75" header="0.3" footer="0.3"/>
  <pageSetup paperSize="9" scale="61" orientation="landscape" horizontalDpi="360" verticalDpi="360" r:id="rId1"/>
  <ignoredErrors>
    <ignoredError sqref="AS12:AS13 AS29:AS31 AS15:AS27" formulaRange="1"/>
    <ignoredError sqref="AV13" formula="1"/>
    <ignoredError sqref="AS28 AS14" formula="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RDM APRIL 2026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</dc:creator>
  <cp:lastModifiedBy>Stefan Istatkov</cp:lastModifiedBy>
  <cp:lastPrinted>2026-05-02T08:25:31Z</cp:lastPrinted>
  <dcterms:created xsi:type="dcterms:W3CDTF">2015-02-04T12:04:32Z</dcterms:created>
  <dcterms:modified xsi:type="dcterms:W3CDTF">2026-05-27T07:42:09Z</dcterms:modified>
</cp:coreProperties>
</file>